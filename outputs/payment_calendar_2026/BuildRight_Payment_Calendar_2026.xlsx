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1e51d3d30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 Calendar" sheetId="1" r:id="Rf0f45541e0c14df6"/>
    <x:sheet xmlns:r="http://schemas.openxmlformats.org/officeDocument/2006/relationships" name="Payment Schedule" sheetId="2" r:id="Rb2f43b2fc974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₦&quot;#,##0;[Red](&quot;₦&quot;#,##0);-"/>
  </x:numFmts>
  <x:fonts count="2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6E1E5"/>
      <x:name val="Carlito"/>
    </x:font>
    <x:font>
      <x:b/>
      <x:sz val="11"/>
      <x:color rgb="FFFFFFFF"/>
      <x:name val="Carlito"/>
    </x:font>
    <x:font>
      <x:sz val="10"/>
      <x:color rgb="FF202A32"/>
      <x:name val="Carlito"/>
    </x:font>
    <x:font>
      <x:b/>
      <x:sz val="10"/>
      <x:color rgb="FFBE1E2D"/>
      <x:name val="Carlito"/>
    </x:font>
    <x:font>
      <x:b/>
      <x:sz val="10"/>
      <x:color rgb="FF9A6700"/>
      <x:name val="Carlito"/>
    </x:font>
    <x:font>
      <x:i/>
      <x:sz val="11"/>
      <x:color rgb="FF7A4E00"/>
      <x:name val="Carlito"/>
    </x:font>
    <x:font>
      <x:i/>
      <x:sz val="11"/>
      <x:color rgb="FFD6E1E5"/>
      <x:name val="Carlito"/>
    </x:font>
    <x:font>
      <x:b/>
      <x:sz val="12"/>
      <x:color rgb="FF202A32"/>
      <x:name val="Carlito"/>
    </x:font>
    <x:font>
      <x:b/>
      <x:sz val="15"/>
      <x:color rgb="FFFFFFFF"/>
      <x:name val="Carlito"/>
    </x:font>
    <x:font>
      <x:i/>
      <x:sz val="11"/>
      <x:color rgb="FF202A32"/>
      <x:name val="Carlito"/>
    </x:font>
    <x:font>
      <x:sz val="11"/>
      <x:color rgb="FF202A32"/>
      <x:name val="Carlito"/>
    </x:font>
    <x:font>
      <x:b/>
      <x:sz val="20"/>
      <x:color rgb="FFFFFFFF"/>
      <x:name val="Aptos"/>
    </x:font>
    <x:font>
      <x:i/>
      <x:sz val="11"/>
      <x:color rgb="FFD6E1E5"/>
      <x:name val="Aptos"/>
    </x:font>
    <x:font>
      <x:sz val="11"/>
      <x:name val="Aptos"/>
    </x:font>
    <x:font>
      <x:b/>
      <x:sz val="12"/>
      <x:color rgb="FF202A32"/>
      <x:name val="Aptos"/>
    </x:font>
    <x:font>
      <x:b/>
      <x:sz val="15"/>
      <x:color rgb="FFFFFFFF"/>
      <x:name val="Aptos"/>
    </x:font>
    <x:font>
      <x:b/>
      <x:sz val="11"/>
      <x:color rgb="FFFFFFFF"/>
      <x:name val="Aptos"/>
    </x:font>
    <x:font>
      <x:i/>
      <x:sz val="11"/>
      <x:color rgb="FF202A32"/>
      <x:name val="Aptos"/>
    </x:font>
    <x:font>
      <x:sz val="11"/>
      <x:color rgb="FF202A32"/>
      <x:name val="Aptos"/>
    </x:font>
    <x:font>
      <x:i/>
      <x:sz val="10"/>
      <x:color rgb="FFD6E1E5"/>
      <x:name val="Aptos"/>
    </x:font>
    <x:font>
      <x:sz val="10"/>
      <x:color rgb="FF202A32"/>
      <x:name val="Aptos"/>
    </x:font>
    <x:font>
      <x:b/>
      <x:sz val="10"/>
      <x:color rgb="FFBE1E2D"/>
      <x:name val="Aptos"/>
    </x:font>
    <x:font>
      <x:b/>
      <x:sz val="10"/>
      <x:color rgb="FF9A6700"/>
      <x:name val="Aptos"/>
    </x:font>
    <x:font>
      <x:i/>
      <x:sz val="11"/>
      <x:color rgb="FF7A4E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202A32"/>
      </x:patternFill>
    </x:fill>
    <x:fill>
      <x:patternFill patternType="solid">
        <x:fgColor rgb="FF16988A"/>
      </x:patternFill>
    </x:fill>
    <x:fill>
      <x:patternFill patternType="solid">
        <x:fgColor rgb="FFFBEAEC"/>
      </x:patternFill>
    </x:fill>
    <x:fill>
      <x:patternFill patternType="solid">
        <x:fgColor rgb="FFFFF4D6"/>
      </x:patternFill>
    </x:fill>
    <x:fill>
      <x:patternFill patternType="solid">
        <x:fgColor rgb="FFEAF6F3"/>
      </x:patternFill>
    </x:fill>
    <x:fill>
      <x:patternFill patternType="solid">
        <x:fgColor rgb="FFBE1E2D"/>
      </x:patternFill>
    </x:fill>
    <x:fill>
      <x:patternFill patternType="solid">
        <x:fgColor rgb="FFFFF9E8"/>
      </x:patternFill>
    </x:fill>
    <x:fill>
      <x:patternFill patternType="solid">
        <x:fgColor rgb="FFF5F7F8"/>
      </x:patternFill>
    </x:fill>
  </x:fills>
  <x:borders count="2">
    <x:border/>
    <x:border>
      <x:bottom style="thin">
        <x:color rgb="FFD9E1E5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200" fontId="10" fillId="3" borderId="0" xfId="0" applyNumberFormat="1" applyFont="1" applyFill="1" applyBorder="1" applyAlignment="1">
      <x:alignment horizontal="center" vertical="center"/>
    </x:xf>
    <x:xf numFmtId="200" fontId="10" fillId="7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3" fillId="2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right"/>
    </x:xf>
    <x:xf numFmtId="0" fontId="0" fillId="8" borderId="1" xfId="0" applyNumberFormat="1" applyFont="1" applyFill="1" applyBorder="1"/>
    <x:xf numFmtId="200" fontId="0" fillId="8" borderId="1" xfId="0" applyNumberFormat="1" applyFont="1" applyFill="1" applyBorder="1" applyAlignment="1">
      <x:alignment horizontal="right"/>
    </x:xf>
    <x:xf numFmtId="0" fontId="11" fillId="8" borderId="1" xfId="0" applyNumberFormat="1" applyFont="1" applyFill="1" applyBorder="1"/>
    <x:xf numFmtId="200" fontId="11" fillId="8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right" vertical="center"/>
    </x:xf>
    <x:xf numFmtId="0" fontId="14" fillId="2" borderId="0" xfId="0" applyNumberFormat="1" applyFont="1" applyFill="1" applyBorder="1" applyAlignment="1">
      <x:alignment horizontal="right"/>
    </x:xf>
    <x:xf numFmtId="0" fontId="15" fillId="0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 vertical="center"/>
    </x:xf>
    <x:xf numFmtId="200" fontId="17" fillId="3" borderId="0" xfId="0" applyNumberFormat="1" applyFont="1" applyFill="1" applyBorder="1" applyAlignment="1">
      <x:alignment horizontal="center" vertical="center"/>
    </x:xf>
    <x:xf numFmtId="200" fontId="17" fillId="7" borderId="0" xfId="0" applyNumberFormat="1" applyFont="1" applyFill="1" applyBorder="1" applyAlignment="1">
      <x:alignment horizontal="center" vertical="center"/>
    </x:xf>
    <x:xf numFmtId="0" fontId="18" fillId="3" borderId="0" xfId="0" applyNumberFormat="1" applyFont="1" applyFill="1" applyBorder="1" applyAlignment="1">
      <x:alignment horizontal="center"/>
    </x:xf>
    <x:xf numFmtId="200" fontId="15" fillId="0" borderId="0" xfId="0" applyNumberFormat="1" applyFont="1" applyFill="1" applyBorder="1" applyAlignment="1">
      <x:alignment horizontal="right"/>
    </x:xf>
    <x:xf numFmtId="200" fontId="15" fillId="4" borderId="0" xfId="0" applyNumberFormat="1" applyFont="1" applyFill="1" applyBorder="1" applyAlignment="1">
      <x:alignment horizontal="right"/>
    </x:xf>
    <x:xf numFmtId="0" fontId="19" fillId="8" borderId="1" xfId="0" applyNumberFormat="1" applyFont="1" applyFill="1" applyBorder="1"/>
    <x:xf numFmtId="200" fontId="19" fillId="8" borderId="1" xfId="0" applyNumberFormat="1" applyFont="1" applyFill="1" applyBorder="1" applyAlignment="1">
      <x:alignment horizontal="right"/>
    </x:xf>
    <x:xf numFmtId="0" fontId="18" fillId="2" borderId="0" xfId="0" applyNumberFormat="1" applyFont="1" applyFill="1" applyBorder="1" applyAlignment="1">
      <x:alignment vertical="center"/>
    </x:xf>
    <x:xf numFmtId="200" fontId="18" fillId="2" borderId="0" xfId="0" applyNumberFormat="1" applyFont="1" applyFill="1" applyBorder="1" applyAlignment="1">
      <x:alignment horizontal="right" vertical="center"/>
    </x:xf>
    <x:xf numFmtId="0" fontId="18" fillId="7" borderId="0" xfId="0" applyNumberFormat="1" applyFont="1" applyFill="1" applyBorder="1" applyAlignment="1">
      <x:alignment horizontal="left"/>
    </x:xf>
    <x:xf numFmtId="0" fontId="20" fillId="9" borderId="0" xfId="0" applyNumberFormat="1" applyFont="1" applyFill="1" applyBorder="1" applyAlignment="1">
      <x:alignment vertical="center" wrapText="1"/>
    </x:xf>
    <x:xf numFmtId="0" fontId="21" fillId="2" borderId="0" xfId="0" applyNumberFormat="1" applyFont="1" applyFill="1" applyBorder="1" applyAlignment="1">
      <x:alignment horizontal="right"/>
    </x:xf>
    <x:xf numFmtId="0" fontId="18" fillId="3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horizontal="right" vertical="center"/>
    </x:xf>
    <x:xf numFmtId="0" fontId="22" fillId="0" borderId="0" xfId="0" applyNumberFormat="1" applyFont="1" applyFill="1" applyBorder="1" applyAlignment="1">
      <x:alignment horizontal="center" vertical="center"/>
    </x:xf>
    <x:xf numFmtId="0" fontId="23" fillId="4" borderId="0" xfId="0" applyNumberFormat="1" applyFont="1" applyFill="1" applyBorder="1" applyAlignment="1">
      <x:alignment horizontal="center" vertical="center"/>
    </x:xf>
    <x:xf numFmtId="0" fontId="24" fillId="5" borderId="0" xfId="0" applyNumberFormat="1" applyFont="1" applyFill="1" applyBorder="1" applyAlignment="1">
      <x:alignment horizontal="center" vertical="center"/>
    </x:xf>
    <x:xf numFmtId="0" fontId="22" fillId="0" borderId="1" xfId="0" applyNumberFormat="1" applyFont="1" applyFill="1" applyBorder="1" applyAlignment="1">
      <x:alignment vertical="center"/>
    </x:xf>
    <x:xf numFmtId="200" fontId="22" fillId="0" borderId="1" xfId="0" applyNumberFormat="1" applyFont="1" applyFill="1" applyBorder="1" applyAlignment="1">
      <x:alignment horizontal="right" vertical="center"/>
    </x:xf>
    <x:xf numFmtId="0" fontId="22" fillId="0" borderId="1" xfId="0" applyNumberFormat="1" applyFont="1" applyFill="1" applyBorder="1" applyAlignment="1">
      <x:alignment horizontal="center" vertical="center"/>
    </x:xf>
    <x:xf numFmtId="0" fontId="25" fillId="5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19" fillId="8" borderId="1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8f456ba904203" /><Relationship Type="http://schemas.openxmlformats.org/officeDocument/2006/relationships/theme" Target="/xl/theme/theme1.xml" Id="Rd377f93cca6e4137" /><Relationship Type="http://schemas.openxmlformats.org/officeDocument/2006/relationships/sharedStrings" Target="/xl/sharedStrings.xml" Id="R773a8fbcf120415b" /><Relationship Type="http://schemas.openxmlformats.org/officeDocument/2006/relationships/worksheet" Target="/xl/worksheets/sheet1.xml" Id="Rf0f45541e0c14df6" /><Relationship Type="http://schemas.openxmlformats.org/officeDocument/2006/relationships/worksheet" Target="/xl/worksheets/sheet2.xml" Id="Rb2f43b2fc9744c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81ecb0703e74f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371f8a0802d74d1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381250" cy="1428750"/>
    <xdr:pic>
      <xdr:nvPicPr>
        <xdr:cNvPr id="1" name="52e90dcf-a552-4360-b710-ce03fa96c9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1ecb0703e7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381250" cy="1428750"/>
    <xdr:pic>
      <xdr:nvPicPr>
        <xdr:cNvPr id="1" name="d909cf09-0a7b-44e3-84bb-747c2d1cef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1f8a0802d74d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cae4ccec9141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febf0fb7a094b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</x:cols>
  <x:sheetData>
    <x:row r="1" ht="70" customHeight="1">
      <x:c r="A1" s="67" t="str">
        <x:v>2026 PAYMENT CALENDAR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</x:row>
    <x:row r="2">
      <x:c r="A2" s="68" t="str">
        <x:v>BuildRight Services Ltd. | Management planning view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</x:row>
    <x:row r="4" ht="34" customHeight="1">
      <x:c r="A4" s="70" t="str">
        <x:v>Monthly commitment</x:v>
      </x:c>
      <x:c r="B4" s="70"/>
      <x:c r="C4" s="70"/>
      <x:c r="D4" s="71" t="n">
        <x:f>'Payment Schedule'!D12</x:f>
        <x:v>60955</x:v>
      </x:c>
      <x:c r="E4" s="71"/>
      <x:c r="F4" s="71"/>
      <x:c r="G4" s="70" t="str">
        <x:v>2026 planned spend</x:v>
      </x:c>
      <x:c r="H4" s="70"/>
      <x:c r="I4" s="70"/>
      <x:c r="J4" s="72" t="n">
        <x:f>'Payment Schedule'!H12</x:f>
        <x:v>809686</x:v>
      </x:c>
      <x:c r="K4" s="72"/>
      <x:c r="L4" s="72"/>
      <x:c r="M4" s="70" t="str">
        <x:v>6 services</x:v>
      </x:c>
      <x:c r="N4" s="70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</x:row>
    <x:row r="6">
      <x:c r="A6" s="73" t="str">
        <x:v>Payment</x:v>
      </x:c>
      <x:c r="B6" s="73" t="str">
        <x:v>Jan</x:v>
      </x:c>
      <x:c r="C6" s="73" t="str">
        <x:v>Feb</x:v>
      </x:c>
      <x:c r="D6" s="73" t="str">
        <x:v>Mar</x:v>
      </x:c>
      <x:c r="E6" s="73" t="str">
        <x:v>Apr</x:v>
      </x:c>
      <x:c r="F6" s="73" t="str">
        <x:v>May</x:v>
      </x:c>
      <x:c r="G6" s="73" t="str">
        <x:v>Jun</x:v>
      </x:c>
      <x:c r="H6" s="73" t="str">
        <x:v>Jul</x:v>
      </x:c>
      <x:c r="I6" s="73" t="str">
        <x:v>Aug</x:v>
      </x:c>
      <x:c r="J6" s="73" t="str">
        <x:v>Sep</x:v>
      </x:c>
      <x:c r="K6" s="73" t="str">
        <x:v>Oct</x:v>
      </x:c>
      <x:c r="L6" s="73" t="str">
        <x:v>Nov</x:v>
      </x:c>
      <x:c r="M6" s="73" t="str">
        <x:v>Dec</x:v>
      </x:c>
      <x:c r="N6" s="73" t="str">
        <x:v>Annual total</x:v>
      </x:c>
    </x:row>
    <x:row r="7" ht="26" customHeight="1">
      <x:c r="A7" s="93" t="str">
        <x:v>Zoho Mail — 11th</x:v>
      </x:c>
      <x:c r="B7" s="74" t="n">
        <x:v>16555</x:v>
      </x:c>
      <x:c r="C7" s="74" t="n">
        <x:v>16555</x:v>
      </x:c>
      <x:c r="D7" s="74" t="n">
        <x:v>16555</x:v>
      </x:c>
      <x:c r="E7" s="74" t="n">
        <x:v>16555</x:v>
      </x:c>
      <x:c r="F7" s="74" t="n">
        <x:v>16555</x:v>
      </x:c>
      <x:c r="G7" s="74" t="n">
        <x:v>16555</x:v>
      </x:c>
      <x:c r="H7" s="74" t="n">
        <x:v>16555</x:v>
      </x:c>
      <x:c r="I7" s="74" t="n">
        <x:v>16555</x:v>
      </x:c>
      <x:c r="J7" s="74" t="n">
        <x:v>16555</x:v>
      </x:c>
      <x:c r="K7" s="74" t="n">
        <x:v>16555</x:v>
      </x:c>
      <x:c r="L7" s="74" t="n">
        <x:v>16555</x:v>
      </x:c>
      <x:c r="M7" s="74" t="n">
        <x:v>16555</x:v>
      </x:c>
      <x:c r="N7" s="74" t="n">
        <x:f>SUM(B7:M7)</x:f>
        <x:v>198660</x:v>
      </x:c>
    </x:row>
    <x:row r="8" ht="26" customHeight="1">
      <x:c r="A8" s="93" t="str">
        <x:v>Canva — 23rd</x:v>
      </x:c>
      <x:c r="B8" s="74" t="n">
        <x:v>5500</x:v>
      </x:c>
      <x:c r="C8" s="74" t="n">
        <x:v>5500</x:v>
      </x:c>
      <x:c r="D8" s="74" t="n">
        <x:v>5500</x:v>
      </x:c>
      <x:c r="E8" s="74" t="n">
        <x:v>5500</x:v>
      </x:c>
      <x:c r="F8" s="74" t="n">
        <x:v>5500</x:v>
      </x:c>
      <x:c r="G8" s="74" t="n">
        <x:v>5500</x:v>
      </x:c>
      <x:c r="H8" s="74" t="n">
        <x:v>5500</x:v>
      </x:c>
      <x:c r="I8" s="74" t="n">
        <x:v>5500</x:v>
      </x:c>
      <x:c r="J8" s="74" t="n">
        <x:v>5500</x:v>
      </x:c>
      <x:c r="K8" s="74" t="n">
        <x:v>5500</x:v>
      </x:c>
      <x:c r="L8" s="74" t="n">
        <x:v>5500</x:v>
      </x:c>
      <x:c r="M8" s="74" t="n">
        <x:v>5500</x:v>
      </x:c>
      <x:c r="N8" s="74" t="n">
        <x:f>SUM(B8:M8)</x:f>
        <x:v>66000</x:v>
      </x:c>
    </x:row>
    <x:row r="9" ht="26" customHeight="1">
      <x:c r="A9" s="93" t="str">
        <x:v>Internet — 27th</x:v>
      </x:c>
      <x:c r="B9" s="74" t="n">
        <x:v>25000</x:v>
      </x:c>
      <x:c r="C9" s="74" t="n">
        <x:v>25000</x:v>
      </x:c>
      <x:c r="D9" s="74" t="n">
        <x:v>25000</x:v>
      </x:c>
      <x:c r="E9" s="74" t="n">
        <x:v>25000</x:v>
      </x:c>
      <x:c r="F9" s="74" t="n">
        <x:v>25000</x:v>
      </x:c>
      <x:c r="G9" s="74" t="n">
        <x:v>25000</x:v>
      </x:c>
      <x:c r="H9" s="74" t="n">
        <x:v>25000</x:v>
      </x:c>
      <x:c r="I9" s="74" t="n">
        <x:v>25000</x:v>
      </x:c>
      <x:c r="J9" s="74" t="n">
        <x:v>25000</x:v>
      </x:c>
      <x:c r="K9" s="74" t="n">
        <x:v>25000</x:v>
      </x:c>
      <x:c r="L9" s="74" t="n">
        <x:v>25000</x:v>
      </x:c>
      <x:c r="M9" s="74" t="n">
        <x:v>25000</x:v>
      </x:c>
      <x:c r="N9" s="74" t="n">
        <x:f>SUM(B9:M9)</x:f>
        <x:v>300000</x:v>
      </x:c>
    </x:row>
    <x:row r="10" ht="26" customHeight="1">
      <x:c r="A10" s="93" t="str">
        <x:v>Domain — 28 Apr</x:v>
      </x:c>
      <x:c r="B10" s="74" t="n">
        <x:v>0</x:v>
      </x:c>
      <x:c r="C10" s="74" t="n">
        <x:v>0</x:v>
      </x:c>
      <x:c r="D10" s="74" t="n">
        <x:v>0</x:v>
      </x:c>
      <x:c r="E10" s="75" t="n">
        <x:v>78226</x:v>
      </x:c>
      <x:c r="F10" s="74" t="n">
        <x:v>0</x:v>
      </x:c>
      <x:c r="G10" s="74" t="n">
        <x:v>0</x:v>
      </x:c>
      <x:c r="H10" s="74" t="n">
        <x:v>0</x:v>
      </x:c>
      <x:c r="I10" s="74" t="n">
        <x:v>0</x:v>
      </x:c>
      <x:c r="J10" s="74" t="n">
        <x:v>0</x:v>
      </x:c>
      <x:c r="K10" s="74" t="n">
        <x:v>0</x:v>
      </x:c>
      <x:c r="L10" s="74" t="n">
        <x:v>0</x:v>
      </x:c>
      <x:c r="M10" s="74" t="n">
        <x:v>0</x:v>
      </x:c>
      <x:c r="N10" s="74" t="n">
        <x:f>SUM(B10:M10)</x:f>
        <x:v>78226</x:v>
      </x:c>
    </x:row>
    <x:row r="11" ht="26" customHeight="1">
      <x:c r="A11" s="93" t="str">
        <x:v>CapCut — month end</x:v>
      </x:c>
      <x:c r="B11" s="74" t="n">
        <x:v>6900</x:v>
      </x:c>
      <x:c r="C11" s="74" t="n">
        <x:v>6900</x:v>
      </x:c>
      <x:c r="D11" s="74" t="n">
        <x:v>6900</x:v>
      </x:c>
      <x:c r="E11" s="74" t="n">
        <x:v>6900</x:v>
      </x:c>
      <x:c r="F11" s="74" t="n">
        <x:v>6900</x:v>
      </x:c>
      <x:c r="G11" s="74" t="n">
        <x:v>6900</x:v>
      </x:c>
      <x:c r="H11" s="74" t="n">
        <x:v>6900</x:v>
      </x:c>
      <x:c r="I11" s="74" t="n">
        <x:v>6900</x:v>
      </x:c>
      <x:c r="J11" s="74" t="n">
        <x:v>6900</x:v>
      </x:c>
      <x:c r="K11" s="74" t="n">
        <x:v>6900</x:v>
      </x:c>
      <x:c r="L11" s="74" t="n">
        <x:v>6900</x:v>
      </x:c>
      <x:c r="M11" s="74" t="n">
        <x:v>6900</x:v>
      </x:c>
      <x:c r="N11" s="74" t="n">
        <x:f>SUM(B11:M11)</x:f>
        <x:v>82800</x:v>
      </x:c>
    </x:row>
    <x:row r="12" ht="26" customHeight="1">
      <x:c r="A12" s="94" t="str">
        <x:v>ChatGPT — date TBD</x:v>
      </x:c>
      <x:c r="B12" s="77" t="n">
        <x:v>7000</x:v>
      </x:c>
      <x:c r="C12" s="77" t="n">
        <x:v>7000</x:v>
      </x:c>
      <x:c r="D12" s="77" t="n">
        <x:v>7000</x:v>
      </x:c>
      <x:c r="E12" s="77" t="n">
        <x:v>7000</x:v>
      </x:c>
      <x:c r="F12" s="77" t="n">
        <x:v>7000</x:v>
      </x:c>
      <x:c r="G12" s="77" t="n">
        <x:v>7000</x:v>
      </x:c>
      <x:c r="H12" s="77" t="n">
        <x:v>7000</x:v>
      </x:c>
      <x:c r="I12" s="77" t="n">
        <x:v>7000</x:v>
      </x:c>
      <x:c r="J12" s="77" t="n">
        <x:v>7000</x:v>
      </x:c>
      <x:c r="K12" s="77" t="n">
        <x:v>7000</x:v>
      </x:c>
      <x:c r="L12" s="77" t="n">
        <x:v>7000</x:v>
      </x:c>
      <x:c r="M12" s="77" t="n">
        <x:v>7000</x:v>
      </x:c>
      <x:c r="N12" s="77" t="n">
        <x:f>SUM(B12:M12)</x:f>
        <x:v>84000</x:v>
      </x:c>
    </x:row>
    <x:row r="13" ht="26" customHeight="1">
      <x:c r="A13" s="95" t="str">
        <x:v>TOTAL PLANNED</x:v>
      </x:c>
      <x:c r="B13" s="79" t="n">
        <x:f>SUM(B7:B12)</x:f>
        <x:v>60955</x:v>
      </x:c>
      <x:c r="C13" s="79" t="n">
        <x:f>SUM(C7:C12)</x:f>
        <x:v>60955</x:v>
      </x:c>
      <x:c r="D13" s="79" t="n">
        <x:f>SUM(D7:D12)</x:f>
        <x:v>60955</x:v>
      </x:c>
      <x:c r="E13" s="79" t="n">
        <x:f>SUM(E7:E12)</x:f>
        <x:v>139181</x:v>
      </x:c>
      <x:c r="F13" s="79" t="n">
        <x:f>SUM(F7:F12)</x:f>
        <x:v>60955</x:v>
      </x:c>
      <x:c r="G13" s="79" t="n">
        <x:f>SUM(G7:G12)</x:f>
        <x:v>60955</x:v>
      </x:c>
      <x:c r="H13" s="79" t="n">
        <x:f>SUM(H7:H12)</x:f>
        <x:v>60955</x:v>
      </x:c>
      <x:c r="I13" s="79" t="n">
        <x:f>SUM(I7:I12)</x:f>
        <x:v>60955</x:v>
      </x:c>
      <x:c r="J13" s="79" t="n">
        <x:f>SUM(J7:J12)</x:f>
        <x:v>60955</x:v>
      </x:c>
      <x:c r="K13" s="79" t="n">
        <x:f>SUM(K7:K12)</x:f>
        <x:v>60955</x:v>
      </x:c>
      <x:c r="L13" s="79" t="n">
        <x:f>SUM(L7:L12)</x:f>
        <x:v>60955</x:v>
      </x:c>
      <x:c r="M13" s="79" t="n">
        <x:f>SUM(M7:M12)</x:f>
        <x:v>60955</x:v>
      </x:c>
      <x:c r="N13" s="79" t="n">
        <x:f>SUM(N7:N12)</x:f>
        <x:v>809686</x:v>
      </x:c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</x:row>
    <x:row r="15">
      <x:c r="A15" s="80" t="str">
        <x:v>PAYMENT TIMING NOTES</x:v>
      </x:c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</x:row>
    <x:row r="16">
      <x:c r="A16" s="81" t="str">
        <x:v>• 11th: Zoho Mail — ₦16,555 (review when staff increases)   • 23rd: Canva — ₦5,500   • 27th: Internet — ₦25,000
• 28 April: Domain — ₦78,226   • Month-end: CapCut — ₦6,900   • ChatGPT — ₦7,000, billing day still to be confirmed</x:v>
      </x:c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  <x:c r="M16" s="81"/>
      <x:c r="N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  <x:c r="M17" s="81"/>
      <x:c r="N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  <x:c r="M18" s="81"/>
      <x:c r="N18" s="81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</x:row>
  </x:sheetData>
  <x:mergeCells>
    <x:mergeCell ref="A1:N1"/>
    <x:mergeCell ref="A2:N2"/>
    <x:mergeCell ref="A4:C4"/>
    <x:mergeCell ref="D4:F4"/>
    <x:mergeCell ref="G4:I4"/>
    <x:mergeCell ref="J4:L4"/>
    <x:mergeCell ref="M4:N4"/>
    <x:mergeCell ref="A15:N15"/>
    <x:mergeCell ref="A16:N18"/>
  </x:mergeCells>
  <x:pageMargins left="0.7" right="0.7" top="0.75" bottom="0.75" header="0.3" footer="0.3"/>
  <x:drawing xmlns:r="http://schemas.openxmlformats.org/officeDocument/2006/relationships" r:id="R50cae4ccec9141e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9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35" hidden="0" customWidth="1"/>
  </x:cols>
  <x:sheetData>
    <x:row r="1" ht="70" customHeight="1">
      <x:c r="A1" s="67" t="str">
        <x:v>BUILDRIGHT PAYMENT SCHEDULE</x:v>
      </x:c>
      <x:c r="B1" s="67"/>
      <x:c r="C1" s="67"/>
      <x:c r="D1" s="67"/>
      <x:c r="E1" s="67"/>
      <x:c r="F1" s="67"/>
      <x:c r="G1" s="67"/>
      <x:c r="H1" s="67"/>
      <x:c r="I1" s="69"/>
      <x:c r="J1" s="69"/>
      <x:c r="K1" s="69"/>
      <x:c r="L1" s="69"/>
      <x:c r="M1" s="69"/>
      <x:c r="N1" s="69"/>
    </x:row>
    <x:row r="2">
      <x:c r="A2" s="82" t="str">
        <x:v>Recurring subscriptions and annual renewals | Prepared 14 Aug 2026</x:v>
      </x:c>
      <x:c r="B2" s="82"/>
      <x:c r="C2" s="82"/>
      <x:c r="D2" s="82"/>
      <x:c r="E2" s="82"/>
      <x:c r="F2" s="82"/>
      <x:c r="G2" s="82"/>
      <x:c r="H2" s="82"/>
      <x:c r="I2" s="69"/>
      <x:c r="J2" s="69"/>
      <x:c r="K2" s="69"/>
      <x:c r="L2" s="69"/>
      <x:c r="M2" s="69"/>
      <x:c r="N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</x:row>
    <x:row r="4">
      <x:c r="A4" s="83" t="str">
        <x:v>Service</x:v>
      </x:c>
      <x:c r="B4" s="83" t="str">
        <x:v>Frequency</x:v>
      </x:c>
      <x:c r="C4" s="83" t="str">
        <x:v>Due rule</x:v>
      </x:c>
      <x:c r="D4" s="83" t="str">
        <x:v>Amount (₦)</x:v>
      </x:c>
      <x:c r="E4" s="83" t="str">
        <x:v>Annual cost (₦)</x:v>
      </x:c>
      <x:c r="F4" s="83" t="str">
        <x:v>Budget status</x:v>
      </x:c>
      <x:c r="G4" s="83" t="str">
        <x:v>Owner</x:v>
      </x:c>
      <x:c r="H4" s="83" t="str">
        <x:v>Notes</x:v>
      </x:c>
      <x:c r="I4" s="69"/>
      <x:c r="J4" s="69"/>
      <x:c r="K4" s="69"/>
      <x:c r="L4" s="69"/>
      <x:c r="M4" s="69"/>
      <x:c r="N4" s="69"/>
    </x:row>
    <x:row r="5" ht="29" customHeight="1">
      <x:c r="A5" s="84" t="str">
        <x:v>CapCut subscription</x:v>
      </x:c>
      <x:c r="B5" s="84" t="str">
        <x:v>Monthly</x:v>
      </x:c>
      <x:c r="C5" s="84" t="str">
        <x:v>Last day of month</x:v>
      </x:c>
      <x:c r="D5" s="85" t="n">
        <x:v>6900</x:v>
      </x:c>
      <x:c r="E5" s="85" t="n">
        <x:f>D5*12</x:f>
        <x:v>82800</x:v>
      </x:c>
      <x:c r="F5" s="86" t="str">
        <x:v>Confirmed</x:v>
      </x:c>
      <x:c r="G5" s="84" t="str">
        <x:v>Admin</x:v>
      </x:c>
      <x:c r="H5" s="96" t="str">
        <x:v>Interpreted from ‘31st every month’</x:v>
      </x:c>
      <x:c r="I5" s="69"/>
      <x:c r="J5" s="69"/>
      <x:c r="K5" s="69"/>
      <x:c r="L5" s="69"/>
      <x:c r="M5" s="69"/>
      <x:c r="N5" s="69"/>
    </x:row>
    <x:row r="6" ht="29" customHeight="1">
      <x:c r="A6" s="84" t="str">
        <x:v>Canva subscription</x:v>
      </x:c>
      <x:c r="B6" s="84" t="str">
        <x:v>Monthly</x:v>
      </x:c>
      <x:c r="C6" s="84" t="str">
        <x:v>23rd</x:v>
      </x:c>
      <x:c r="D6" s="85" t="n">
        <x:v>5500</x:v>
      </x:c>
      <x:c r="E6" s="85" t="n">
        <x:f>D6*12</x:f>
        <x:v>66000</x:v>
      </x:c>
      <x:c r="F6" s="86" t="str">
        <x:v>Confirmed</x:v>
      </x:c>
      <x:c r="G6" s="84" t="str">
        <x:v>Admin</x:v>
      </x:c>
      <x:c r="H6" s="96" t="str"/>
      <x:c r="I6" s="69"/>
      <x:c r="J6" s="69"/>
      <x:c r="K6" s="69"/>
      <x:c r="L6" s="69"/>
      <x:c r="M6" s="69"/>
      <x:c r="N6" s="69"/>
    </x:row>
    <x:row r="7" ht="29" customHeight="1">
      <x:c r="A7" s="84" t="str">
        <x:v>ChatGPT subscription</x:v>
      </x:c>
      <x:c r="B7" s="84" t="str">
        <x:v>Monthly</x:v>
      </x:c>
      <x:c r="C7" s="84" t="str">
        <x:v>TBD</x:v>
      </x:c>
      <x:c r="D7" s="85" t="n">
        <x:v>7000</x:v>
      </x:c>
      <x:c r="E7" s="85" t="n">
        <x:f>D7*12</x:f>
        <x:v>84000</x:v>
      </x:c>
      <x:c r="F7" s="87" t="str">
        <x:v>Date required</x:v>
      </x:c>
      <x:c r="G7" s="84" t="str">
        <x:v>Admin</x:v>
      </x:c>
      <x:c r="H7" s="96" t="str">
        <x:v>Billing day was not provided</x:v>
      </x:c>
      <x:c r="I7" s="69"/>
      <x:c r="J7" s="69"/>
      <x:c r="K7" s="69"/>
      <x:c r="L7" s="69"/>
      <x:c r="M7" s="69"/>
      <x:c r="N7" s="69"/>
    </x:row>
    <x:row r="8" ht="29" customHeight="1">
      <x:c r="A8" s="84" t="str">
        <x:v>Zoho Mail</x:v>
      </x:c>
      <x:c r="B8" s="84" t="str">
        <x:v>Monthly</x:v>
      </x:c>
      <x:c r="C8" s="84" t="str">
        <x:v>11th</x:v>
      </x:c>
      <x:c r="D8" s="85" t="n">
        <x:v>16555</x:v>
      </x:c>
      <x:c r="E8" s="85" t="n">
        <x:f>D8*12</x:f>
        <x:v>198660</x:v>
      </x:c>
      <x:c r="F8" s="88" t="str">
        <x:v>Variable</x:v>
      </x:c>
      <x:c r="G8" s="84" t="str">
        <x:v>Admin / HR</x:v>
      </x:c>
      <x:c r="H8" s="96" t="str">
        <x:v>Increases as staff count increases</x:v>
      </x:c>
      <x:c r="I8" s="69"/>
      <x:c r="J8" s="69"/>
      <x:c r="K8" s="69"/>
      <x:c r="L8" s="69"/>
      <x:c r="M8" s="69"/>
      <x:c r="N8" s="69"/>
    </x:row>
    <x:row r="9" ht="29" customHeight="1">
      <x:c r="A9" s="84" t="str">
        <x:v>Domain subscription</x:v>
      </x:c>
      <x:c r="B9" s="84" t="str">
        <x:v>Annual</x:v>
      </x:c>
      <x:c r="C9" s="84" t="str">
        <x:v>28 April</x:v>
      </x:c>
      <x:c r="D9" s="85" t="n">
        <x:v>78226</x:v>
      </x:c>
      <x:c r="E9" s="85" t="n">
        <x:f>D9</x:f>
        <x:v>78226</x:v>
      </x:c>
      <x:c r="F9" s="86" t="str">
        <x:v>Confirmed</x:v>
      </x:c>
      <x:c r="G9" s="84" t="str">
        <x:v>IT</x:v>
      </x:c>
      <x:c r="H9" s="96" t="str">
        <x:v>Annual renewal</x:v>
      </x:c>
      <x:c r="I9" s="69"/>
      <x:c r="J9" s="69"/>
      <x:c r="K9" s="69"/>
      <x:c r="L9" s="69"/>
      <x:c r="M9" s="69"/>
      <x:c r="N9" s="69"/>
    </x:row>
    <x:row r="10" ht="29" customHeight="1">
      <x:c r="A10" s="89" t="str">
        <x:v>Internet subscription</x:v>
      </x:c>
      <x:c r="B10" s="89" t="str">
        <x:v>Monthly</x:v>
      </x:c>
      <x:c r="C10" s="89" t="str">
        <x:v>27th</x:v>
      </x:c>
      <x:c r="D10" s="90" t="n">
        <x:v>25000</x:v>
      </x:c>
      <x:c r="E10" s="90" t="n">
        <x:f>D10*12</x:f>
        <x:v>300000</x:v>
      </x:c>
      <x:c r="F10" s="91" t="str">
        <x:v>Confirmed</x:v>
      </x:c>
      <x:c r="G10" s="89" t="str">
        <x:v>Admin</x:v>
      </x:c>
      <x:c r="H10" s="97" t="str"/>
      <x:c r="I10" s="69"/>
      <x:c r="J10" s="69"/>
      <x:c r="K10" s="69"/>
      <x:c r="L10" s="69"/>
      <x:c r="M10" s="69"/>
      <x:c r="N10" s="69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</x:row>
    <x:row r="12">
      <x:c r="A12" s="78" t="str">
        <x:v>MONTHLY COMMITMENT</x:v>
      </x:c>
      <x:c r="B12" s="78"/>
      <x:c r="C12" s="78"/>
      <x:c r="D12" s="79" t="n">
        <x:f>SUM(D5:D8,D10)</x:f>
        <x:v>60955</x:v>
      </x:c>
      <x:c r="E12" s="79"/>
      <x:c r="F12" s="78" t="str">
        <x:v>ANNUALIZED TOTAL</x:v>
      </x:c>
      <x:c r="G12" s="78"/>
      <x:c r="H12" s="79" t="n">
        <x:f>SUM(E5:E10)</x:f>
        <x:v>809686</x:v>
      </x:c>
      <x:c r="I12" s="69"/>
      <x:c r="J12" s="69"/>
      <x:c r="K12" s="69"/>
      <x:c r="L12" s="69"/>
      <x:c r="M12" s="69"/>
      <x:c r="N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</x:row>
    <x:row r="14">
      <x:c r="A14" s="92" t="str">
        <x:v>Important: Confirm the ChatGPT billing day before using this workbook for payment execution. Zoho Mail is a variable staff-linked cost and should be reviewed whenever headcount changes.</x:v>
      </x:c>
      <x:c r="B14" s="92"/>
      <x:c r="C14" s="92"/>
      <x:c r="D14" s="92"/>
      <x:c r="E14" s="92"/>
      <x:c r="F14" s="92"/>
      <x:c r="G14" s="92"/>
      <x:c r="H14" s="92"/>
      <x:c r="I14" s="69"/>
      <x:c r="J14" s="69"/>
      <x:c r="K14" s="69"/>
      <x:c r="L14" s="69"/>
      <x:c r="M14" s="69"/>
      <x:c r="N14" s="69"/>
    </x:row>
    <x:row r="15">
      <x:c r="A15" s="92"/>
      <x:c r="B15" s="92"/>
      <x:c r="C15" s="92"/>
      <x:c r="D15" s="92"/>
      <x:c r="E15" s="92"/>
      <x:c r="F15" s="92"/>
      <x:c r="G15" s="92"/>
      <x:c r="H15" s="92"/>
      <x:c r="I15" s="69"/>
      <x:c r="J15" s="69"/>
      <x:c r="K15" s="69"/>
      <x:c r="L15" s="69"/>
      <x:c r="M15" s="69"/>
      <x:c r="N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</x:row>
  </x:sheetData>
  <x:mergeCells>
    <x:mergeCell ref="A1:H1"/>
    <x:mergeCell ref="A2:H2"/>
    <x:mergeCell ref="A12:C12"/>
    <x:mergeCell ref="D12:E12"/>
    <x:mergeCell ref="F12:G12"/>
    <x:mergeCell ref="A14:H15"/>
  </x:mergeCells>
  <x:pageMargins left="0.7" right="0.7" top="0.75" bottom="0.75" header="0.3" footer="0.3"/>
  <x:drawing xmlns:r="http://schemas.openxmlformats.org/officeDocument/2006/relationships" r:id="R3febf0fb7a094b53"/>
</x:worksheet>
</file>